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VID\montgomery-co-situational-awarness\geocoding\"/>
    </mc:Choice>
  </mc:AlternateContent>
  <xr:revisionPtr revIDLastSave="0" documentId="13_ncr:1_{63FE14ED-C71B-49C5-9AF4-3613C8859DBB}" xr6:coauthVersionLast="36" xr6:coauthVersionMax="36" xr10:uidLastSave="{00000000-0000-0000-0000-000000000000}"/>
  <bookViews>
    <workbookView xWindow="0" yWindow="0" windowWidth="25125" windowHeight="2265" xr2:uid="{22FFE649-F4AC-486C-B097-00CC4C00C488}"/>
  </bookViews>
  <sheets>
    <sheet name="README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" i="1" l="1"/>
  <c r="E12" i="1"/>
  <c r="E18" i="1"/>
</calcChain>
</file>

<file path=xl/sharedStrings.xml><?xml version="1.0" encoding="utf-8"?>
<sst xmlns="http://schemas.openxmlformats.org/spreadsheetml/2006/main" count="18" uniqueCount="15">
  <si>
    <t>Address</t>
  </si>
  <si>
    <t>Coords</t>
  </si>
  <si>
    <t>559 W Germantown Pike, East Norriton, PA 19403</t>
  </si>
  <si>
    <t>1001 Sterigere St, Norristown, PA 19401</t>
  </si>
  <si>
    <t>Northing</t>
  </si>
  <si>
    <t>Easting</t>
  </si>
  <si>
    <t>Notes:</t>
  </si>
  <si>
    <t>https://geocoding.geo.census.gov/geocoder/locations/addressbatch?form</t>
  </si>
  <si>
    <t>-&gt;</t>
  </si>
  <si>
    <t>NorthingEastingToLatLong(NorthingFloat, EastingFloat)</t>
  </si>
  <si>
    <t>AddressToLatLong(AddressString)</t>
  </si>
  <si>
    <t>This macro-enabled workbook comes with custom geocoding functions (see example function calls below)</t>
  </si>
  <si>
    <r>
      <t xml:space="preserve">  - For these custom geocoding functions to work you must (A) </t>
    </r>
    <r>
      <rPr>
        <b/>
        <sz val="11"/>
        <rFont val="Calibri"/>
        <family val="2"/>
        <scheme val="minor"/>
      </rPr>
      <t>have macros enabled</t>
    </r>
    <r>
      <rPr>
        <sz val="11"/>
        <rFont val="Calibri"/>
        <family val="2"/>
        <scheme val="minor"/>
      </rPr>
      <t xml:space="preserve">; and (B) </t>
    </r>
    <r>
      <rPr>
        <b/>
        <sz val="11"/>
        <rFont val="Calibri"/>
        <family val="2"/>
        <scheme val="minor"/>
      </rPr>
      <t>be connected to the internet</t>
    </r>
    <r>
      <rPr>
        <sz val="11"/>
        <rFont val="Calibri"/>
        <family val="2"/>
        <scheme val="minor"/>
      </rPr>
      <t>.</t>
    </r>
  </si>
  <si>
    <t xml:space="preserve">  - The AddressToLatLong function relies on the Census single-address API which is often slow to respond (5 sec. per request).</t>
  </si>
  <si>
    <t xml:space="preserve">  - The AddressToLatLong function is not meant for batch jobs. For batch jobs (more than 25 addresses, use a batch tool):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</si>
</sst>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0">
    <xf numFmtId="0" fontId="0" fillId="0" borderId="0" xfId="0"/>
    <xf numFmtId="0" fontId="0" fillId="2" borderId="1" xfId="0" applyFill="1" applyBorder="1"/>
    <xf numFmtId="0" fontId="0" fillId="0" borderId="0" xfId="0" quotePrefix="1"/>
    <xf numFmtId="0" fontId="0" fillId="3" borderId="1" xfId="0" applyFill="1" applyBorder="1"/>
    <xf numFmtId="0" fontId="0" fillId="2" borderId="3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0" borderId="4" xfId="0" applyBorder="1" applyAlignment="1">
      <alignment horizontal="left"/>
    </xf>
    <xf numFmtId="0" fontId="1" fillId="0" borderId="0" xfId="0" applyFont="1"/>
    <xf numFmtId="0" fontId="2" fillId="0" borderId="0" xfId="0" applyFont="1"/>
    <xf numFmtId="0" fontId="3" fillId="0" borderId="0" xfId="1" quotePrefix="1"/>
    <xf numFmtId="0" fontId="0" fillId="0" borderId="0" xfId="0" quotePrefix="1" applyFont="1"/>
    <xf numFmtId="0" fontId="0" fillId="0" borderId="0" xfId="0" quotePrefix="1" applyBorder="1" applyAlignment="1">
      <alignment horizontal="left"/>
    </xf>
    <xf numFmtId="0" fontId="1" fillId="0" borderId="2" xfId="0" quotePrefix="1" applyFont="1" applyBorder="1" applyAlignment="1">
      <alignment horizontal="center"/>
    </xf>
    <xf numFmtId="0" fontId="1" fillId="0" borderId="6" xfId="0" quotePrefix="1" applyFont="1" applyBorder="1" applyAlignment="1">
      <alignment horizontal="center"/>
    </xf>
    <xf numFmtId="0" fontId="1" fillId="0" borderId="3" xfId="0" quotePrefix="1" applyFont="1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8" xfId="0" applyBorder="1"/>
    <xf numFmtId="0" fontId="0" fillId="0" borderId="9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5" xfId="0" quotePrefix="1" applyBorder="1" applyAlignment="1">
      <alignment horizontal="left"/>
    </xf>
    <xf numFmtId="0" fontId="0" fillId="0" borderId="10" xfId="0" applyBorder="1"/>
    <xf numFmtId="0" fontId="0" fillId="3" borderId="1" xfId="0" quotePrefix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4" fontId="0" fillId="0" borderId="9" xfId="0" applyNumberFormat="1" applyBorder="1" applyAlignment="1">
      <alignment horizontal="center"/>
    </xf>
    <xf numFmtId="4" fontId="0" fillId="0" borderId="5" xfId="0" applyNumberFormat="1" applyBorder="1" applyAlignment="1">
      <alignment horizontal="center"/>
    </xf>
    <xf numFmtId="0" fontId="4" fillId="0" borderId="0" xfId="0" quotePrefix="1" applyFont="1"/>
    <xf numFmtId="0" fontId="2" fillId="0" borderId="0" xfId="0" applyFont="1" applyAlignment="1">
      <alignment horizontal="center"/>
    </xf>
    <xf numFmtId="0" fontId="6" fillId="0" borderId="0" xfId="0" applyFont="1" applyAlignment="1">
      <alignment horizontal="left"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eocoding.geo.census.gov/geocoder/locations/addressbatch?for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3BA3B-A8DB-4EEC-9EFF-9EBA57C5FAAC}">
  <sheetPr codeName="Sheet1"/>
  <dimension ref="A1:G21"/>
  <sheetViews>
    <sheetView tabSelected="1" workbookViewId="0">
      <selection activeCell="B21" sqref="B21"/>
    </sheetView>
  </sheetViews>
  <sheetFormatPr defaultRowHeight="15" x14ac:dyDescent="0.25"/>
  <cols>
    <col min="1" max="1" width="2.5703125" customWidth="1"/>
    <col min="2" max="3" width="24.5703125" customWidth="1"/>
    <col min="4" max="4" width="2.7109375" bestFit="1" customWidth="1"/>
    <col min="5" max="5" width="56.140625" customWidth="1"/>
    <col min="6" max="6" width="11.28515625" customWidth="1"/>
  </cols>
  <sheetData>
    <row r="1" spans="1:5" x14ac:dyDescent="0.25">
      <c r="A1" s="28" t="s">
        <v>11</v>
      </c>
      <c r="B1" s="28"/>
      <c r="C1" s="28"/>
      <c r="D1" s="28"/>
      <c r="E1" s="28"/>
    </row>
    <row r="2" spans="1:5" x14ac:dyDescent="0.25">
      <c r="B2" s="9"/>
    </row>
    <row r="3" spans="1:5" x14ac:dyDescent="0.25">
      <c r="A3" s="10" t="s">
        <v>6</v>
      </c>
    </row>
    <row r="4" spans="1:5" x14ac:dyDescent="0.25">
      <c r="A4" s="27" t="s">
        <v>12</v>
      </c>
      <c r="C4" s="2"/>
      <c r="D4" s="2"/>
    </row>
    <row r="5" spans="1:5" x14ac:dyDescent="0.25">
      <c r="A5" s="2" t="s">
        <v>13</v>
      </c>
      <c r="C5" s="2"/>
      <c r="D5" s="2"/>
    </row>
    <row r="6" spans="1:5" x14ac:dyDescent="0.25">
      <c r="A6" s="12" t="s">
        <v>14</v>
      </c>
      <c r="B6" s="9"/>
      <c r="C6" s="2"/>
      <c r="D6" s="2"/>
    </row>
    <row r="7" spans="1:5" x14ac:dyDescent="0.25">
      <c r="B7" s="11" t="s">
        <v>7</v>
      </c>
    </row>
    <row r="8" spans="1:5" x14ac:dyDescent="0.25">
      <c r="B8" s="11"/>
    </row>
    <row r="10" spans="1:5" x14ac:dyDescent="0.25">
      <c r="B10" s="14" t="s">
        <v>10</v>
      </c>
      <c r="C10" s="15"/>
      <c r="D10" s="15"/>
      <c r="E10" s="16"/>
    </row>
    <row r="11" spans="1:5" x14ac:dyDescent="0.25">
      <c r="B11" s="6" t="s">
        <v>0</v>
      </c>
      <c r="C11" s="7"/>
      <c r="D11" s="4"/>
      <c r="E11" s="1" t="s">
        <v>1</v>
      </c>
    </row>
    <row r="12" spans="1:5" x14ac:dyDescent="0.25">
      <c r="B12" s="17" t="s">
        <v>2</v>
      </c>
      <c r="C12" s="8"/>
      <c r="D12" s="13" t="s">
        <v>8</v>
      </c>
      <c r="E12" s="18" t="str">
        <f>AddressToLatLong(B12)</f>
        <v>40.15073, -75.34259</v>
      </c>
    </row>
    <row r="13" spans="1:5" x14ac:dyDescent="0.25">
      <c r="B13" s="19" t="s">
        <v>3</v>
      </c>
      <c r="C13" s="20"/>
      <c r="D13" s="21" t="s">
        <v>8</v>
      </c>
      <c r="E13" s="22" t="str">
        <f>AddressToLatLong(B13)</f>
        <v>40.129192, -75.34822</v>
      </c>
    </row>
    <row r="14" spans="1:5" x14ac:dyDescent="0.25">
      <c r="B14" s="5"/>
      <c r="C14" s="5"/>
      <c r="D14" s="13"/>
    </row>
    <row r="16" spans="1:5" x14ac:dyDescent="0.25">
      <c r="B16" s="14" t="s">
        <v>9</v>
      </c>
      <c r="C16" s="15"/>
      <c r="D16" s="15"/>
      <c r="E16" s="16"/>
    </row>
    <row r="17" spans="1:5" x14ac:dyDescent="0.25">
      <c r="B17" s="23" t="s">
        <v>4</v>
      </c>
      <c r="C17" s="24" t="s">
        <v>5</v>
      </c>
      <c r="D17" s="3"/>
      <c r="E17" s="3" t="s">
        <v>1</v>
      </c>
    </row>
    <row r="18" spans="1:5" x14ac:dyDescent="0.25">
      <c r="B18" s="25">
        <v>567910.35199999996</v>
      </c>
      <c r="C18" s="26">
        <v>1652315.577</v>
      </c>
      <c r="D18" s="21" t="s">
        <v>8</v>
      </c>
      <c r="E18" s="22" t="str">
        <f>NorthingEastingToLatLong(B18,C18)</f>
        <v>40.8866402186, -78.8935449266</v>
      </c>
    </row>
    <row r="21" spans="1:5" x14ac:dyDescent="0.25">
      <c r="A21" s="29"/>
    </row>
  </sheetData>
  <mergeCells count="6">
    <mergeCell ref="A1:E1"/>
    <mergeCell ref="B11:C11"/>
    <mergeCell ref="B12:C12"/>
    <mergeCell ref="B13:C13"/>
    <mergeCell ref="B16:E16"/>
    <mergeCell ref="B10:E10"/>
  </mergeCells>
  <hyperlinks>
    <hyperlink ref="B7" r:id="rId1" xr:uid="{6C9BA21A-6DFF-4B60-96D7-2018BBD7A645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README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 Yeres</dc:creator>
  <cp:lastModifiedBy>Phil Yeres</cp:lastModifiedBy>
  <dcterms:created xsi:type="dcterms:W3CDTF">2020-09-30T21:27:10Z</dcterms:created>
  <dcterms:modified xsi:type="dcterms:W3CDTF">2020-10-08T21:49:18Z</dcterms:modified>
</cp:coreProperties>
</file>