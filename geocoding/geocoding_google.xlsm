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VID\montgomery-co-situational-awarness\geocoding\"/>
    </mc:Choice>
  </mc:AlternateContent>
  <xr:revisionPtr revIDLastSave="0" documentId="13_ncr:1_{16C4F7A0-1D4D-4CE4-A915-8E0F33F4DEE5}" xr6:coauthVersionLast="36" xr6:coauthVersionMax="36" xr10:uidLastSave="{00000000-0000-0000-0000-000000000000}"/>
  <bookViews>
    <workbookView xWindow="0" yWindow="0" windowWidth="23835" windowHeight="5115" xr2:uid="{22FFE649-F4AC-486C-B097-00CC4C00C488}"/>
  </bookViews>
  <sheets>
    <sheet name="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D6" i="1"/>
  <c r="C7" i="1"/>
  <c r="D7" i="1"/>
  <c r="C8" i="1"/>
  <c r="D8" i="1"/>
  <c r="C9" i="1"/>
  <c r="D9" i="1"/>
  <c r="B9" i="1"/>
  <c r="B8" i="1"/>
  <c r="B7" i="1"/>
  <c r="B6" i="1"/>
  <c r="B5" i="1"/>
  <c r="B4" i="1"/>
  <c r="B3" i="1"/>
  <c r="C5" i="1" l="1"/>
  <c r="D5" i="1"/>
  <c r="C4" i="1"/>
  <c r="D4" i="1"/>
  <c r="D3" i="1"/>
  <c r="C3" i="1"/>
</calcChain>
</file>

<file path=xl/sharedStrings.xml><?xml version="1.0" encoding="utf-8"?>
<sst xmlns="http://schemas.openxmlformats.org/spreadsheetml/2006/main" count="12" uniqueCount="12">
  <si>
    <t>Address</t>
  </si>
  <si>
    <t>Coords</t>
  </si>
  <si>
    <t>Latitude</t>
  </si>
  <si>
    <t>Longitude</t>
  </si>
  <si>
    <t>559 W Germantown Pike, East Norriton, PA 19403</t>
  </si>
  <si>
    <t>1001 Sterigere St, Norristown, PA 19401</t>
  </si>
  <si>
    <t>1001 Sterigere St</t>
  </si>
  <si>
    <t>1001 Sterigere St, PA</t>
  </si>
  <si>
    <t>-1 Sterigere St</t>
  </si>
  <si>
    <t>19401</t>
  </si>
  <si>
    <t>Norristown, PA</t>
  </si>
  <si>
    <t>WARNING: every call to the function GetCoordinates() costs 0.005 dollars (half a cent) and bills to Phil.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</si>
</sst>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3BA3B-A8DB-4EEC-9EFF-9EBA57C5FAAC}">
  <sheetPr codeName="Sheet1"/>
  <dimension ref="A1:D9"/>
  <sheetViews>
    <sheetView tabSelected="1" workbookViewId="0">
      <selection activeCell="A2" sqref="A2"/>
    </sheetView>
  </sheetViews>
  <sheetFormatPr defaultRowHeight="15" x14ac:dyDescent="0.25"/>
  <cols>
    <col min="1" max="1" width="49" bestFit="1" customWidth="1"/>
    <col min="2" max="2" width="22.28515625" bestFit="1" customWidth="1"/>
    <col min="3" max="3" width="10.5703125" bestFit="1" customWidth="1"/>
    <col min="4" max="4" width="11.28515625" bestFit="1" customWidth="1"/>
    <col min="5" max="5" width="11.28515625" customWidth="1"/>
  </cols>
  <sheetData>
    <row r="1" spans="1:4" x14ac:dyDescent="0.25">
      <c r="A1" s="1" t="s">
        <v>11</v>
      </c>
    </row>
    <row r="2" spans="1:4" x14ac:dyDescent="0.25">
      <c r="A2" s="2" t="s">
        <v>0</v>
      </c>
      <c r="B2" s="2" t="s">
        <v>1</v>
      </c>
      <c r="C2" s="2" t="s">
        <v>2</v>
      </c>
      <c r="D2" s="2" t="s">
        <v>3</v>
      </c>
    </row>
    <row r="3" spans="1:4" x14ac:dyDescent="0.25">
      <c r="A3" t="s">
        <v>4</v>
      </c>
      <c r="B3" t="str">
        <f>GetCoordinates(A3)</f>
        <v>40.1529948, -75.3445290</v>
      </c>
      <c r="C3" t="str">
        <f>LEFT(B3,FIND(",",B3)-1)</f>
        <v>40.1529948</v>
      </c>
      <c r="D3" t="str">
        <f>MID(B3,FIND(",",B3)+2,100)</f>
        <v>-75.3445290</v>
      </c>
    </row>
    <row r="4" spans="1:4" x14ac:dyDescent="0.25">
      <c r="A4" t="s">
        <v>5</v>
      </c>
      <c r="B4" t="str">
        <f>GetCoordinates(A4)</f>
        <v>40.1316166, -75.3442392</v>
      </c>
      <c r="C4" t="str">
        <f>LEFT(B4,FIND(",",B4)-1)</f>
        <v>40.1316166</v>
      </c>
      <c r="D4" t="str">
        <f>MID(B4,FIND(",",B4)+2,100)</f>
        <v>-75.3442392</v>
      </c>
    </row>
    <row r="5" spans="1:4" x14ac:dyDescent="0.25">
      <c r="A5" t="s">
        <v>7</v>
      </c>
      <c r="B5" t="str">
        <f t="shared" ref="B5" si="0">GetCoordinates(A5)</f>
        <v>40.1316166, -75.3442392</v>
      </c>
      <c r="C5" t="str">
        <f t="shared" ref="C5:C9" si="1">LEFT(B5,FIND(",",B5)-1)</f>
        <v>40.1316166</v>
      </c>
      <c r="D5" t="str">
        <f t="shared" ref="D5" si="2">MID(B5,FIND(",",B5)+2,100)</f>
        <v>-75.3442392</v>
      </c>
    </row>
    <row r="6" spans="1:4" x14ac:dyDescent="0.25">
      <c r="A6" t="s">
        <v>6</v>
      </c>
      <c r="B6" t="str">
        <f>GetCoordinates(A6)</f>
        <v>40.1316166, -75.3442392</v>
      </c>
      <c r="C6" t="str">
        <f t="shared" si="1"/>
        <v>40.1316166</v>
      </c>
      <c r="D6" t="str">
        <f t="shared" ref="D6:D9" si="3">MID(B6,FIND(",",B6)+2,100)</f>
        <v>-75.3442392</v>
      </c>
    </row>
    <row r="7" spans="1:4" x14ac:dyDescent="0.25">
      <c r="A7" s="3" t="s">
        <v>8</v>
      </c>
      <c r="B7" t="str">
        <f>GetCoordinates(A7)</f>
        <v>40.1347529, -75.3572509</v>
      </c>
      <c r="C7" t="str">
        <f t="shared" si="1"/>
        <v>40.1347529</v>
      </c>
      <c r="D7" t="str">
        <f t="shared" si="3"/>
        <v>-75.3572509</v>
      </c>
    </row>
    <row r="8" spans="1:4" x14ac:dyDescent="0.25">
      <c r="A8" s="3" t="s">
        <v>9</v>
      </c>
      <c r="B8" t="str">
        <f>GetCoordinates(A8)</f>
        <v>40.1270723, -75.3353875</v>
      </c>
      <c r="C8" t="str">
        <f t="shared" si="1"/>
        <v>40.1270723</v>
      </c>
      <c r="D8" t="str">
        <f t="shared" si="3"/>
        <v>-75.3353875</v>
      </c>
    </row>
    <row r="9" spans="1:4" x14ac:dyDescent="0.25">
      <c r="A9" t="s">
        <v>10</v>
      </c>
      <c r="B9" t="str">
        <f>GetCoordinates(A9)</f>
        <v>40.1214970, -75.3399048</v>
      </c>
      <c r="C9" t="str">
        <f t="shared" si="1"/>
        <v>40.1214970</v>
      </c>
      <c r="D9" t="str">
        <f t="shared" si="3"/>
        <v>-75.3399048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Yeres</dc:creator>
  <cp:lastModifiedBy>Phil Yeres</cp:lastModifiedBy>
  <dcterms:created xsi:type="dcterms:W3CDTF">2020-09-30T21:27:10Z</dcterms:created>
  <dcterms:modified xsi:type="dcterms:W3CDTF">2020-09-30T22:10:44Z</dcterms:modified>
</cp:coreProperties>
</file>